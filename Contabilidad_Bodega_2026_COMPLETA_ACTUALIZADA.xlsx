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0794833-F8F9-450D-BE52-7A06E1EC19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gresos" sheetId="1" r:id="rId1"/>
    <sheet name="Gastos" sheetId="2" r:id="rId2"/>
    <sheet name="IVA Trimestral" sheetId="3" r:id="rId3"/>
    <sheet name="Resumen Anu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G25" i="2"/>
  <c r="E25" i="2"/>
  <c r="B6" i="4"/>
  <c r="B5" i="4"/>
  <c r="B3" i="4"/>
  <c r="B2" i="4"/>
  <c r="B4" i="4" s="1"/>
  <c r="H20" i="1"/>
  <c r="G20" i="1"/>
  <c r="E20" i="1"/>
</calcChain>
</file>

<file path=xl/sharedStrings.xml><?xml version="1.0" encoding="utf-8"?>
<sst xmlns="http://schemas.openxmlformats.org/spreadsheetml/2006/main" count="264" uniqueCount="107">
  <si>
    <t>Fecha</t>
  </si>
  <si>
    <t>Nº Factura</t>
  </si>
  <si>
    <t>Cliente</t>
  </si>
  <si>
    <t>Concepto</t>
  </si>
  <si>
    <t>Base Imponible</t>
  </si>
  <si>
    <t>IVA %</t>
  </si>
  <si>
    <t>IVA (€)</t>
  </si>
  <si>
    <t>Total (€)</t>
  </si>
  <si>
    <t>Cobrado</t>
  </si>
  <si>
    <t>Forma de cobro</t>
  </si>
  <si>
    <t>2026-02-02</t>
  </si>
  <si>
    <t>ILOVEWINE, S.L.</t>
  </si>
  <si>
    <t>Venta vino DOC Rioja</t>
  </si>
  <si>
    <t>Sí</t>
  </si>
  <si>
    <t>Transferencia</t>
  </si>
  <si>
    <t>GRAPETXEA SLU</t>
  </si>
  <si>
    <t>2026-02-09</t>
  </si>
  <si>
    <t>LA ALCOHOLERA DE LA RIOJA, EBRO Y DUERO, SA</t>
  </si>
  <si>
    <t>Orujos</t>
  </si>
  <si>
    <t>2026-02-25</t>
  </si>
  <si>
    <t>La Caprichosa 2024 SC</t>
  </si>
  <si>
    <t>2026-03-16</t>
  </si>
  <si>
    <t>COALLA LOGISTICA SL</t>
  </si>
  <si>
    <t>2026-03-24</t>
  </si>
  <si>
    <t>2026-03-30</t>
  </si>
  <si>
    <t>2026-04-27</t>
  </si>
  <si>
    <t>2026-05-15</t>
  </si>
  <si>
    <t>2026-05-26</t>
  </si>
  <si>
    <t>Pendiente</t>
  </si>
  <si>
    <t>TOTAL</t>
  </si>
  <si>
    <t>Proveedor</t>
  </si>
  <si>
    <t>Categoría</t>
  </si>
  <si>
    <t>Pagado</t>
  </si>
  <si>
    <t>Cuenta</t>
  </si>
  <si>
    <t>2026-01-01</t>
  </si>
  <si>
    <t>Servicios</t>
  </si>
  <si>
    <t>Normativa UE</t>
  </si>
  <si>
    <t>Banco</t>
  </si>
  <si>
    <t>LOCALECOMMERCE, S.L.</t>
  </si>
  <si>
    <t>Telefonía</t>
  </si>
  <si>
    <t>Móvil + MultiSIM</t>
  </si>
  <si>
    <t>2026-01-30</t>
  </si>
  <si>
    <t>ABRA</t>
  </si>
  <si>
    <t>Asociación</t>
  </si>
  <si>
    <t>Cuota Asociación Bodegas Rioja Alavesa</t>
  </si>
  <si>
    <t>2026-01-31</t>
  </si>
  <si>
    <t>LAYA WINE, S.L.</t>
  </si>
  <si>
    <t>Transporte</t>
  </si>
  <si>
    <t>Envío vino</t>
  </si>
  <si>
    <t>2026-02-01</t>
  </si>
  <si>
    <t>2026-02-16</t>
  </si>
  <si>
    <t>SOLGE SYSTEMS, S.L.</t>
  </si>
  <si>
    <t>Etiquetas</t>
  </si>
  <si>
    <t>Etiquetas vino</t>
  </si>
  <si>
    <t>2026-02-28</t>
  </si>
  <si>
    <t>Envío vino + embalaje</t>
  </si>
  <si>
    <t>2026-03-01</t>
  </si>
  <si>
    <t>Móvil + consumos</t>
  </si>
  <si>
    <t>2026-03-03</t>
  </si>
  <si>
    <t>BRAIZU, S.L.</t>
  </si>
  <si>
    <t>Botellas</t>
  </si>
  <si>
    <t>Botellas Borgoña + palet</t>
  </si>
  <si>
    <t>Consejo Regulador DOCa Rioja</t>
  </si>
  <si>
    <t>Publicidad</t>
  </si>
  <si>
    <t>Promoción y publicidad</t>
  </si>
  <si>
    <t>2026-03-31</t>
  </si>
  <si>
    <t>Cuotas</t>
  </si>
  <si>
    <t>Comercialización T1 + documentos</t>
  </si>
  <si>
    <t>2026-04-01</t>
  </si>
  <si>
    <t>Etiquetas + troquel</t>
  </si>
  <si>
    <t>2026-04-15</t>
  </si>
  <si>
    <t>ECOVIDRIO</t>
  </si>
  <si>
    <t>Cuota T1 2026</t>
  </si>
  <si>
    <t>Abono</t>
  </si>
  <si>
    <t>Regularización 2025</t>
  </si>
  <si>
    <t>2026-04-20</t>
  </si>
  <si>
    <t>CAVATAP, S.L.</t>
  </si>
  <si>
    <t>Packaging</t>
  </si>
  <si>
    <t>Cajas + alveolos + portes</t>
  </si>
  <si>
    <t>2026-05-04</t>
  </si>
  <si>
    <t>2026-05-07</t>
  </si>
  <si>
    <t>FRANCISCO VIA, S.L.</t>
  </si>
  <si>
    <t>Bodega</t>
  </si>
  <si>
    <t>Caño limpieza</t>
  </si>
  <si>
    <t>2026-05-12</t>
  </si>
  <si>
    <t>VINVENTIONS SA</t>
  </si>
  <si>
    <t>Corchos</t>
  </si>
  <si>
    <t>Corchos SÜBR</t>
  </si>
  <si>
    <t>ECUTRANS</t>
  </si>
  <si>
    <t>Transporte pallet material</t>
  </si>
  <si>
    <t>ICOMMERS EVERY S.L.U.</t>
  </si>
  <si>
    <t>Palets + portes</t>
  </si>
  <si>
    <t>Trimestre</t>
  </si>
  <si>
    <t>IVA Repercutido</t>
  </si>
  <si>
    <t>IVA Soportado</t>
  </si>
  <si>
    <t>Resultado</t>
  </si>
  <si>
    <t>1T</t>
  </si>
  <si>
    <t>2T</t>
  </si>
  <si>
    <t>3T</t>
  </si>
  <si>
    <t>4T</t>
  </si>
  <si>
    <t>Importe (€)</t>
  </si>
  <si>
    <t>Ingresos Totales</t>
  </si>
  <si>
    <t>Gastos Totales</t>
  </si>
  <si>
    <t>Beneficio Estimado</t>
  </si>
  <si>
    <t>Gil Gams C.B.:</t>
  </si>
  <si>
    <t>Lacre Flexible Verde + transporte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</si>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</sst>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M10" sqref="M10"/>
    </sheetView>
  </sheetViews>
  <sheetFormatPr baseColWidth="10" defaultColWidth="8.88671875" defaultRowHeight="14.4" x14ac:dyDescent="0.3"/>
  <cols>
    <col min="1" max="1" width="10.33203125" bestFit="1" customWidth="1"/>
    <col min="2" max="2" width="9.88671875" bestFit="1" customWidth="1"/>
    <col min="3" max="3" width="41.77734375" bestFit="1" customWidth="1"/>
    <col min="4" max="4" width="18.44140625" bestFit="1" customWidth="1"/>
    <col min="5" max="5" width="13.88671875" bestFit="1" customWidth="1"/>
    <col min="6" max="6" width="5.88671875" bestFit="1" customWidth="1"/>
    <col min="7" max="8" width="8" bestFit="1" customWidth="1"/>
    <col min="9" max="9" width="9.109375" bestFit="1" customWidth="1"/>
    <col min="10" max="10" width="14.21875" bestFit="1" customWidth="1"/>
    <col min="11" max="11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176</v>
      </c>
      <c r="C2" t="s">
        <v>11</v>
      </c>
      <c r="D2" t="s">
        <v>12</v>
      </c>
      <c r="E2">
        <v>929.4</v>
      </c>
      <c r="F2">
        <v>0.21</v>
      </c>
      <c r="G2">
        <v>195.17</v>
      </c>
      <c r="H2">
        <v>1124.57</v>
      </c>
      <c r="I2" t="s">
        <v>13</v>
      </c>
      <c r="J2" t="s">
        <v>14</v>
      </c>
    </row>
    <row r="3" spans="1:10" x14ac:dyDescent="0.3">
      <c r="A3" t="s">
        <v>10</v>
      </c>
      <c r="B3">
        <v>177</v>
      </c>
      <c r="C3" t="s">
        <v>15</v>
      </c>
      <c r="D3" t="s">
        <v>12</v>
      </c>
      <c r="E3">
        <v>260.04000000000002</v>
      </c>
      <c r="F3">
        <v>0.21</v>
      </c>
      <c r="G3">
        <v>54.61</v>
      </c>
      <c r="H3">
        <v>314.64999999999998</v>
      </c>
      <c r="I3" t="s">
        <v>13</v>
      </c>
      <c r="J3" t="s">
        <v>14</v>
      </c>
    </row>
    <row r="4" spans="1:10" x14ac:dyDescent="0.3">
      <c r="A4" t="s">
        <v>16</v>
      </c>
      <c r="B4">
        <v>178</v>
      </c>
      <c r="C4" t="s">
        <v>17</v>
      </c>
      <c r="D4" t="s">
        <v>18</v>
      </c>
      <c r="E4">
        <v>25.11</v>
      </c>
      <c r="F4">
        <v>0.21</v>
      </c>
      <c r="G4">
        <v>5.27</v>
      </c>
      <c r="H4">
        <v>30.38</v>
      </c>
      <c r="I4" t="s">
        <v>13</v>
      </c>
      <c r="J4" t="s">
        <v>14</v>
      </c>
    </row>
    <row r="5" spans="1:10" x14ac:dyDescent="0.3">
      <c r="A5" t="s">
        <v>19</v>
      </c>
      <c r="B5">
        <v>179</v>
      </c>
      <c r="C5" t="s">
        <v>15</v>
      </c>
      <c r="D5" t="s">
        <v>12</v>
      </c>
      <c r="E5">
        <v>462.06</v>
      </c>
      <c r="F5">
        <v>0.21</v>
      </c>
      <c r="G5">
        <v>97.03</v>
      </c>
      <c r="H5">
        <v>559.09</v>
      </c>
      <c r="I5" t="s">
        <v>13</v>
      </c>
      <c r="J5" t="s">
        <v>14</v>
      </c>
    </row>
    <row r="6" spans="1:10" x14ac:dyDescent="0.3">
      <c r="A6" t="s">
        <v>19</v>
      </c>
      <c r="B6">
        <v>180</v>
      </c>
      <c r="C6" t="s">
        <v>20</v>
      </c>
      <c r="D6" t="s">
        <v>12</v>
      </c>
      <c r="E6">
        <v>99.17</v>
      </c>
      <c r="F6">
        <v>0.21</v>
      </c>
      <c r="G6">
        <v>20.83</v>
      </c>
      <c r="H6">
        <v>120</v>
      </c>
      <c r="I6" t="s">
        <v>13</v>
      </c>
      <c r="J6" t="s">
        <v>14</v>
      </c>
    </row>
    <row r="7" spans="1:10" x14ac:dyDescent="0.3">
      <c r="A7" t="s">
        <v>21</v>
      </c>
      <c r="B7">
        <v>181</v>
      </c>
      <c r="C7" t="s">
        <v>22</v>
      </c>
      <c r="D7" t="s">
        <v>12</v>
      </c>
      <c r="E7">
        <v>1797.6</v>
      </c>
      <c r="F7">
        <v>0.21</v>
      </c>
      <c r="G7">
        <v>377.5</v>
      </c>
      <c r="H7">
        <v>2175.1</v>
      </c>
      <c r="I7" t="s">
        <v>13</v>
      </c>
      <c r="J7" t="s">
        <v>14</v>
      </c>
    </row>
    <row r="8" spans="1:10" x14ac:dyDescent="0.3">
      <c r="A8" t="s">
        <v>21</v>
      </c>
      <c r="B8">
        <v>182</v>
      </c>
      <c r="C8" t="s">
        <v>15</v>
      </c>
      <c r="D8" t="s">
        <v>12</v>
      </c>
      <c r="E8">
        <v>557.76</v>
      </c>
      <c r="F8">
        <v>0.21</v>
      </c>
      <c r="G8">
        <v>117.13</v>
      </c>
      <c r="H8">
        <v>674.89</v>
      </c>
      <c r="I8" t="s">
        <v>13</v>
      </c>
      <c r="J8" t="s">
        <v>14</v>
      </c>
    </row>
    <row r="9" spans="1:10" x14ac:dyDescent="0.3">
      <c r="A9" t="s">
        <v>23</v>
      </c>
      <c r="B9">
        <v>183</v>
      </c>
      <c r="C9" t="s">
        <v>22</v>
      </c>
      <c r="D9" t="s">
        <v>12</v>
      </c>
      <c r="E9">
        <v>1649.4</v>
      </c>
      <c r="F9">
        <v>0.21</v>
      </c>
      <c r="G9">
        <v>346.37</v>
      </c>
      <c r="H9">
        <v>1995.77</v>
      </c>
      <c r="I9" t="s">
        <v>13</v>
      </c>
      <c r="J9" t="s">
        <v>14</v>
      </c>
    </row>
    <row r="10" spans="1:10" x14ac:dyDescent="0.3">
      <c r="A10" t="s">
        <v>24</v>
      </c>
      <c r="B10">
        <v>184</v>
      </c>
      <c r="C10" t="s">
        <v>22</v>
      </c>
      <c r="D10" t="s">
        <v>12</v>
      </c>
      <c r="E10">
        <v>383.34</v>
      </c>
      <c r="F10">
        <v>0.21</v>
      </c>
      <c r="G10">
        <v>80.5</v>
      </c>
      <c r="H10">
        <v>463.84</v>
      </c>
      <c r="I10" t="s">
        <v>13</v>
      </c>
      <c r="J10" t="s">
        <v>14</v>
      </c>
    </row>
    <row r="11" spans="1:10" x14ac:dyDescent="0.3">
      <c r="A11" t="s">
        <v>24</v>
      </c>
      <c r="B11">
        <v>185</v>
      </c>
      <c r="C11" t="s">
        <v>15</v>
      </c>
      <c r="D11" t="s">
        <v>12</v>
      </c>
      <c r="E11">
        <v>577.08000000000004</v>
      </c>
      <c r="F11">
        <v>0.21</v>
      </c>
      <c r="G11">
        <v>121.19</v>
      </c>
      <c r="H11">
        <v>698.27</v>
      </c>
      <c r="I11" t="s">
        <v>13</v>
      </c>
      <c r="J11" t="s">
        <v>14</v>
      </c>
    </row>
    <row r="12" spans="1:10" x14ac:dyDescent="0.3">
      <c r="A12" t="s">
        <v>25</v>
      </c>
      <c r="B12">
        <v>186</v>
      </c>
      <c r="C12" t="s">
        <v>15</v>
      </c>
      <c r="D12" t="s">
        <v>12</v>
      </c>
      <c r="E12">
        <v>522.66</v>
      </c>
      <c r="F12">
        <v>0.21</v>
      </c>
      <c r="G12">
        <v>109.76</v>
      </c>
      <c r="H12">
        <v>632.41999999999996</v>
      </c>
      <c r="I12" t="s">
        <v>13</v>
      </c>
      <c r="J12" t="s">
        <v>14</v>
      </c>
    </row>
    <row r="13" spans="1:10" x14ac:dyDescent="0.3">
      <c r="A13" t="s">
        <v>25</v>
      </c>
      <c r="B13">
        <v>187</v>
      </c>
      <c r="C13" t="s">
        <v>22</v>
      </c>
      <c r="D13" t="s">
        <v>12</v>
      </c>
      <c r="E13">
        <v>207.84</v>
      </c>
      <c r="F13">
        <v>0.21</v>
      </c>
      <c r="G13">
        <v>43.65</v>
      </c>
      <c r="H13">
        <v>251.49</v>
      </c>
      <c r="I13" t="s">
        <v>13</v>
      </c>
      <c r="J13" t="s">
        <v>14</v>
      </c>
    </row>
    <row r="14" spans="1:10" x14ac:dyDescent="0.3">
      <c r="A14" t="s">
        <v>26</v>
      </c>
      <c r="B14">
        <v>188</v>
      </c>
      <c r="C14" t="s">
        <v>15</v>
      </c>
      <c r="D14" t="s">
        <v>12</v>
      </c>
      <c r="E14">
        <v>708.96</v>
      </c>
      <c r="F14">
        <v>0.21</v>
      </c>
      <c r="G14">
        <v>148.88</v>
      </c>
      <c r="H14">
        <v>857.84</v>
      </c>
      <c r="I14" t="s">
        <v>13</v>
      </c>
      <c r="J14" t="s">
        <v>14</v>
      </c>
    </row>
    <row r="15" spans="1:10" x14ac:dyDescent="0.3">
      <c r="A15" t="s">
        <v>27</v>
      </c>
      <c r="B15">
        <v>190</v>
      </c>
      <c r="C15" t="s">
        <v>22</v>
      </c>
      <c r="D15" t="s">
        <v>12</v>
      </c>
      <c r="E15">
        <v>311.76</v>
      </c>
      <c r="F15">
        <v>0.21</v>
      </c>
      <c r="G15">
        <v>65.47</v>
      </c>
      <c r="H15">
        <v>377.23</v>
      </c>
      <c r="I15" t="s">
        <v>28</v>
      </c>
      <c r="J15" t="s">
        <v>14</v>
      </c>
    </row>
    <row r="16" spans="1:10" x14ac:dyDescent="0.3">
      <c r="A16" t="s">
        <v>27</v>
      </c>
      <c r="B16">
        <v>191</v>
      </c>
      <c r="C16" t="s">
        <v>15</v>
      </c>
      <c r="D16" t="s">
        <v>12</v>
      </c>
      <c r="E16">
        <v>662.46</v>
      </c>
      <c r="F16">
        <v>0.21</v>
      </c>
      <c r="G16">
        <v>139.12</v>
      </c>
      <c r="H16">
        <v>801.58</v>
      </c>
      <c r="I16" t="s">
        <v>28</v>
      </c>
      <c r="J16" t="s">
        <v>14</v>
      </c>
    </row>
    <row r="17" spans="1:10" x14ac:dyDescent="0.3">
      <c r="A17" t="s">
        <v>27</v>
      </c>
      <c r="B17">
        <v>192</v>
      </c>
      <c r="C17" t="s">
        <v>22</v>
      </c>
      <c r="D17" t="s">
        <v>12</v>
      </c>
      <c r="E17">
        <v>2431.98</v>
      </c>
      <c r="F17">
        <v>0.21</v>
      </c>
      <c r="G17">
        <v>510.72</v>
      </c>
      <c r="H17">
        <v>2942.7</v>
      </c>
      <c r="I17" t="s">
        <v>28</v>
      </c>
      <c r="J17" t="s">
        <v>14</v>
      </c>
    </row>
    <row r="18" spans="1:10" x14ac:dyDescent="0.3">
      <c r="A18" t="s">
        <v>27</v>
      </c>
      <c r="B18">
        <v>193</v>
      </c>
      <c r="C18" t="s">
        <v>22</v>
      </c>
      <c r="D18" t="s">
        <v>12</v>
      </c>
      <c r="E18">
        <v>1953.6</v>
      </c>
      <c r="F18">
        <v>0.21</v>
      </c>
      <c r="G18">
        <v>410.26</v>
      </c>
      <c r="H18">
        <v>2363.86</v>
      </c>
      <c r="I18" t="s">
        <v>28</v>
      </c>
      <c r="J18" t="s">
        <v>14</v>
      </c>
    </row>
    <row r="19" spans="1:10" x14ac:dyDescent="0.3">
      <c r="A19" t="s">
        <v>27</v>
      </c>
      <c r="B19">
        <v>194</v>
      </c>
      <c r="C19" t="s">
        <v>22</v>
      </c>
      <c r="D19" t="s">
        <v>12</v>
      </c>
      <c r="E19">
        <v>1247.04</v>
      </c>
      <c r="F19">
        <v>0.21</v>
      </c>
      <c r="G19">
        <v>261.88</v>
      </c>
      <c r="H19">
        <v>1508.92</v>
      </c>
      <c r="I19" t="s">
        <v>28</v>
      </c>
      <c r="J19" t="s">
        <v>14</v>
      </c>
    </row>
    <row r="20" spans="1:10" x14ac:dyDescent="0.3">
      <c r="D20" s="1" t="s">
        <v>29</v>
      </c>
      <c r="E20" s="1">
        <f>SUM(E2:E19)</f>
        <v>14787.259999999998</v>
      </c>
      <c r="G20" s="1">
        <f>SUM(G2:G19)</f>
        <v>3105.34</v>
      </c>
      <c r="H20" s="1">
        <f>SUM(H2:H19)</f>
        <v>17892.599999999999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workbookViewId="0">
      <selection activeCell="H1" sqref="H1"/>
    </sheetView>
  </sheetViews>
  <sheetFormatPr baseColWidth="10" defaultColWidth="8.88671875" defaultRowHeight="14.4" x14ac:dyDescent="0.3"/>
  <cols>
    <col min="1" max="1" width="10.5546875" bestFit="1" customWidth="1"/>
    <col min="2" max="2" width="26.109375" bestFit="1" customWidth="1"/>
    <col min="3" max="11" width="22" customWidth="1"/>
  </cols>
  <sheetData>
    <row r="1" spans="1:10" x14ac:dyDescent="0.3">
      <c r="A1" s="1" t="s">
        <v>0</v>
      </c>
      <c r="B1" s="1" t="s">
        <v>30</v>
      </c>
      <c r="C1" s="1" t="s">
        <v>31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</v>
      </c>
      <c r="J1" s="1" t="s">
        <v>33</v>
      </c>
    </row>
    <row r="2" spans="1:10" x14ac:dyDescent="0.3">
      <c r="A2" s="2" t="s">
        <v>34</v>
      </c>
      <c r="B2" t="s">
        <v>11</v>
      </c>
      <c r="C2" t="s">
        <v>35</v>
      </c>
      <c r="D2" t="s">
        <v>36</v>
      </c>
      <c r="E2">
        <v>60</v>
      </c>
      <c r="F2">
        <v>0.21</v>
      </c>
      <c r="G2">
        <v>12.6</v>
      </c>
      <c r="H2">
        <v>72.599999999999994</v>
      </c>
      <c r="I2" t="s">
        <v>13</v>
      </c>
      <c r="J2" t="s">
        <v>37</v>
      </c>
    </row>
    <row r="3" spans="1:10" x14ac:dyDescent="0.3">
      <c r="A3" s="2" t="s">
        <v>34</v>
      </c>
      <c r="B3" t="s">
        <v>38</v>
      </c>
      <c r="C3" t="s">
        <v>39</v>
      </c>
      <c r="D3" t="s">
        <v>40</v>
      </c>
      <c r="E3">
        <v>10.25</v>
      </c>
      <c r="F3">
        <v>0.21</v>
      </c>
      <c r="G3">
        <v>2.15</v>
      </c>
      <c r="H3">
        <v>12.4</v>
      </c>
      <c r="I3" t="s">
        <v>13</v>
      </c>
      <c r="J3" t="s">
        <v>37</v>
      </c>
    </row>
    <row r="4" spans="1:10" x14ac:dyDescent="0.3">
      <c r="A4" s="2" t="s">
        <v>41</v>
      </c>
      <c r="B4" t="s">
        <v>42</v>
      </c>
      <c r="C4" t="s">
        <v>43</v>
      </c>
      <c r="D4" t="s">
        <v>44</v>
      </c>
      <c r="E4">
        <v>90.15</v>
      </c>
      <c r="F4">
        <v>0</v>
      </c>
      <c r="G4">
        <v>0</v>
      </c>
      <c r="H4">
        <v>90.15</v>
      </c>
      <c r="I4" t="s">
        <v>13</v>
      </c>
      <c r="J4" t="s">
        <v>37</v>
      </c>
    </row>
    <row r="5" spans="1:10" x14ac:dyDescent="0.3">
      <c r="A5" s="2" t="s">
        <v>45</v>
      </c>
      <c r="B5" t="s">
        <v>46</v>
      </c>
      <c r="C5" t="s">
        <v>47</v>
      </c>
      <c r="D5" t="s">
        <v>48</v>
      </c>
      <c r="E5">
        <v>27</v>
      </c>
      <c r="F5">
        <v>0.21</v>
      </c>
      <c r="G5">
        <v>5.67</v>
      </c>
      <c r="H5">
        <v>32.67</v>
      </c>
      <c r="I5" t="s">
        <v>13</v>
      </c>
      <c r="J5" t="s">
        <v>37</v>
      </c>
    </row>
    <row r="6" spans="1:10" x14ac:dyDescent="0.3">
      <c r="A6" s="2" t="s">
        <v>49</v>
      </c>
      <c r="B6" t="s">
        <v>38</v>
      </c>
      <c r="C6" t="s">
        <v>39</v>
      </c>
      <c r="D6" t="s">
        <v>40</v>
      </c>
      <c r="E6">
        <v>10.25</v>
      </c>
      <c r="F6">
        <v>0.21</v>
      </c>
      <c r="G6">
        <v>2.15</v>
      </c>
      <c r="H6">
        <v>12.4</v>
      </c>
      <c r="I6" t="s">
        <v>13</v>
      </c>
      <c r="J6" t="s">
        <v>37</v>
      </c>
    </row>
    <row r="7" spans="1:10" x14ac:dyDescent="0.3">
      <c r="A7" s="2" t="s">
        <v>50</v>
      </c>
      <c r="B7" t="s">
        <v>51</v>
      </c>
      <c r="C7" t="s">
        <v>52</v>
      </c>
      <c r="D7" t="s">
        <v>53</v>
      </c>
      <c r="E7">
        <v>144.15</v>
      </c>
      <c r="F7">
        <v>0.21</v>
      </c>
      <c r="G7">
        <v>30.27</v>
      </c>
      <c r="H7">
        <v>174.42</v>
      </c>
      <c r="I7" t="s">
        <v>13</v>
      </c>
      <c r="J7" t="s">
        <v>37</v>
      </c>
    </row>
    <row r="8" spans="1:10" x14ac:dyDescent="0.3">
      <c r="A8" s="2" t="s">
        <v>54</v>
      </c>
      <c r="B8" t="s">
        <v>46</v>
      </c>
      <c r="C8" t="s">
        <v>47</v>
      </c>
      <c r="D8" t="s">
        <v>55</v>
      </c>
      <c r="E8">
        <v>22.5</v>
      </c>
      <c r="F8">
        <v>0.21</v>
      </c>
      <c r="G8">
        <v>4.7300000000000004</v>
      </c>
      <c r="H8">
        <v>27.23</v>
      </c>
      <c r="I8" t="s">
        <v>13</v>
      </c>
      <c r="J8" t="s">
        <v>37</v>
      </c>
    </row>
    <row r="9" spans="1:10" x14ac:dyDescent="0.3">
      <c r="A9" s="2" t="s">
        <v>56</v>
      </c>
      <c r="B9" t="s">
        <v>38</v>
      </c>
      <c r="C9" t="s">
        <v>39</v>
      </c>
      <c r="D9" t="s">
        <v>57</v>
      </c>
      <c r="E9">
        <v>10.4</v>
      </c>
      <c r="F9">
        <v>0.21</v>
      </c>
      <c r="G9">
        <v>2.1800000000000002</v>
      </c>
      <c r="H9">
        <v>12.58</v>
      </c>
      <c r="I9" t="s">
        <v>13</v>
      </c>
      <c r="J9" t="s">
        <v>37</v>
      </c>
    </row>
    <row r="10" spans="1:10" x14ac:dyDescent="0.3">
      <c r="A10" s="2" t="s">
        <v>58</v>
      </c>
      <c r="B10" t="s">
        <v>59</v>
      </c>
      <c r="C10" t="s">
        <v>60</v>
      </c>
      <c r="D10" t="s">
        <v>61</v>
      </c>
      <c r="E10">
        <v>402.03</v>
      </c>
      <c r="F10">
        <v>0.21</v>
      </c>
      <c r="G10">
        <v>84.43</v>
      </c>
      <c r="H10">
        <v>486.46</v>
      </c>
      <c r="I10" t="s">
        <v>13</v>
      </c>
      <c r="J10" t="s">
        <v>37</v>
      </c>
    </row>
    <row r="11" spans="1:10" x14ac:dyDescent="0.3">
      <c r="A11" s="2" t="s">
        <v>21</v>
      </c>
      <c r="B11" t="s">
        <v>62</v>
      </c>
      <c r="C11" t="s">
        <v>63</v>
      </c>
      <c r="D11" t="s">
        <v>64</v>
      </c>
      <c r="E11">
        <v>5.64</v>
      </c>
      <c r="F11">
        <v>0.21</v>
      </c>
      <c r="G11">
        <v>1.18</v>
      </c>
      <c r="H11">
        <v>6.82</v>
      </c>
      <c r="I11" t="s">
        <v>13</v>
      </c>
      <c r="J11" t="s">
        <v>37</v>
      </c>
    </row>
    <row r="12" spans="1:10" x14ac:dyDescent="0.3">
      <c r="A12" s="2" t="s">
        <v>65</v>
      </c>
      <c r="B12" t="s">
        <v>62</v>
      </c>
      <c r="C12" t="s">
        <v>66</v>
      </c>
      <c r="D12" t="s">
        <v>67</v>
      </c>
      <c r="E12">
        <v>30.14</v>
      </c>
      <c r="F12">
        <v>0</v>
      </c>
      <c r="G12">
        <v>0</v>
      </c>
      <c r="H12">
        <v>30.14</v>
      </c>
      <c r="I12" t="s">
        <v>13</v>
      </c>
      <c r="J12" t="s">
        <v>37</v>
      </c>
    </row>
    <row r="13" spans="1:10" x14ac:dyDescent="0.3">
      <c r="A13" s="2" t="s">
        <v>68</v>
      </c>
      <c r="B13" t="s">
        <v>51</v>
      </c>
      <c r="C13" t="s">
        <v>52</v>
      </c>
      <c r="D13" t="s">
        <v>69</v>
      </c>
      <c r="E13">
        <v>465.25</v>
      </c>
      <c r="F13">
        <v>0.21</v>
      </c>
      <c r="G13">
        <v>97.7</v>
      </c>
      <c r="H13">
        <v>562.95000000000005</v>
      </c>
      <c r="I13" t="s">
        <v>13</v>
      </c>
      <c r="J13" t="s">
        <v>37</v>
      </c>
    </row>
    <row r="14" spans="1:10" x14ac:dyDescent="0.3">
      <c r="A14" s="2" t="s">
        <v>68</v>
      </c>
      <c r="B14" t="s">
        <v>38</v>
      </c>
      <c r="C14" t="s">
        <v>39</v>
      </c>
      <c r="D14" t="s">
        <v>57</v>
      </c>
      <c r="E14">
        <v>10.85</v>
      </c>
      <c r="F14">
        <v>0.21</v>
      </c>
      <c r="G14">
        <v>2.2799999999999998</v>
      </c>
      <c r="H14">
        <v>13.13</v>
      </c>
      <c r="I14" t="s">
        <v>13</v>
      </c>
      <c r="J14" t="s">
        <v>37</v>
      </c>
    </row>
    <row r="15" spans="1:10" x14ac:dyDescent="0.3">
      <c r="A15" s="2" t="s">
        <v>68</v>
      </c>
      <c r="B15" t="s">
        <v>51</v>
      </c>
      <c r="C15" t="s">
        <v>52</v>
      </c>
      <c r="D15" t="s">
        <v>69</v>
      </c>
      <c r="E15">
        <v>465.25</v>
      </c>
      <c r="F15">
        <v>0.21</v>
      </c>
      <c r="G15">
        <v>97.7</v>
      </c>
      <c r="H15">
        <v>562.95000000000005</v>
      </c>
      <c r="I15" t="s">
        <v>13</v>
      </c>
      <c r="J15" t="s">
        <v>37</v>
      </c>
    </row>
    <row r="16" spans="1:10" x14ac:dyDescent="0.3">
      <c r="A16" s="2" t="s">
        <v>70</v>
      </c>
      <c r="B16" t="s">
        <v>71</v>
      </c>
      <c r="C16" t="s">
        <v>66</v>
      </c>
      <c r="D16" t="s">
        <v>72</v>
      </c>
      <c r="E16">
        <v>58.9</v>
      </c>
      <c r="F16">
        <v>0.1</v>
      </c>
      <c r="G16">
        <v>5.89</v>
      </c>
      <c r="H16">
        <v>64.790000000000006</v>
      </c>
      <c r="I16" t="s">
        <v>13</v>
      </c>
      <c r="J16" t="s">
        <v>37</v>
      </c>
    </row>
    <row r="17" spans="1:10" x14ac:dyDescent="0.3">
      <c r="A17" s="2" t="s">
        <v>70</v>
      </c>
      <c r="B17" t="s">
        <v>71</v>
      </c>
      <c r="C17" t="s">
        <v>73</v>
      </c>
      <c r="D17" t="s">
        <v>74</v>
      </c>
      <c r="E17">
        <v>-51.19</v>
      </c>
      <c r="F17">
        <v>0.1</v>
      </c>
      <c r="G17">
        <v>-5.12</v>
      </c>
      <c r="H17">
        <v>-56.31</v>
      </c>
      <c r="I17" t="s">
        <v>13</v>
      </c>
      <c r="J17" t="s">
        <v>37</v>
      </c>
    </row>
    <row r="18" spans="1:10" x14ac:dyDescent="0.3">
      <c r="A18" s="2" t="s">
        <v>75</v>
      </c>
      <c r="B18" t="s">
        <v>76</v>
      </c>
      <c r="C18" t="s">
        <v>77</v>
      </c>
      <c r="D18" t="s">
        <v>78</v>
      </c>
      <c r="E18">
        <v>338.8</v>
      </c>
      <c r="F18">
        <v>0.21</v>
      </c>
      <c r="G18">
        <v>71.150000000000006</v>
      </c>
      <c r="H18">
        <v>409.95</v>
      </c>
      <c r="I18" t="s">
        <v>13</v>
      </c>
      <c r="J18" t="s">
        <v>37</v>
      </c>
    </row>
    <row r="19" spans="1:10" x14ac:dyDescent="0.3">
      <c r="A19" s="2" t="s">
        <v>79</v>
      </c>
      <c r="B19" t="s">
        <v>59</v>
      </c>
      <c r="C19" t="s">
        <v>60</v>
      </c>
      <c r="D19" t="s">
        <v>61</v>
      </c>
      <c r="E19">
        <v>402.03</v>
      </c>
      <c r="F19">
        <v>0.21</v>
      </c>
      <c r="G19">
        <v>84.43</v>
      </c>
      <c r="H19">
        <v>486.46</v>
      </c>
      <c r="I19" t="s">
        <v>106</v>
      </c>
      <c r="J19" t="s">
        <v>37</v>
      </c>
    </row>
    <row r="20" spans="1:10" x14ac:dyDescent="0.3">
      <c r="A20" s="2" t="s">
        <v>80</v>
      </c>
      <c r="B20" t="s">
        <v>81</v>
      </c>
      <c r="C20" t="s">
        <v>82</v>
      </c>
      <c r="D20" t="s">
        <v>83</v>
      </c>
      <c r="E20">
        <v>240</v>
      </c>
      <c r="F20">
        <v>0.21</v>
      </c>
      <c r="G20">
        <v>50.4</v>
      </c>
      <c r="H20">
        <v>290.39999999999998</v>
      </c>
      <c r="I20" t="s">
        <v>13</v>
      </c>
      <c r="J20" t="s">
        <v>37</v>
      </c>
    </row>
    <row r="21" spans="1:10" x14ac:dyDescent="0.3">
      <c r="A21" s="2" t="s">
        <v>84</v>
      </c>
      <c r="B21" t="s">
        <v>85</v>
      </c>
      <c r="C21" t="s">
        <v>86</v>
      </c>
      <c r="D21" t="s">
        <v>87</v>
      </c>
      <c r="E21">
        <v>520</v>
      </c>
      <c r="F21">
        <v>0</v>
      </c>
      <c r="G21">
        <v>0</v>
      </c>
      <c r="H21">
        <v>520</v>
      </c>
      <c r="I21" t="s">
        <v>106</v>
      </c>
      <c r="J21" t="s">
        <v>37</v>
      </c>
    </row>
    <row r="22" spans="1:10" x14ac:dyDescent="0.3">
      <c r="A22" s="2" t="s">
        <v>26</v>
      </c>
      <c r="B22" t="s">
        <v>88</v>
      </c>
      <c r="C22" t="s">
        <v>47</v>
      </c>
      <c r="D22" t="s">
        <v>89</v>
      </c>
      <c r="E22">
        <v>79.86</v>
      </c>
      <c r="F22">
        <v>0.21</v>
      </c>
      <c r="G22">
        <v>16.77</v>
      </c>
      <c r="H22">
        <v>96.63</v>
      </c>
      <c r="I22" t="s">
        <v>13</v>
      </c>
      <c r="J22" t="s">
        <v>37</v>
      </c>
    </row>
    <row r="23" spans="1:10" x14ac:dyDescent="0.3">
      <c r="A23" s="2" t="s">
        <v>79</v>
      </c>
      <c r="B23" t="s">
        <v>90</v>
      </c>
      <c r="C23" t="s">
        <v>77</v>
      </c>
      <c r="D23" t="s">
        <v>91</v>
      </c>
      <c r="E23">
        <v>177.36</v>
      </c>
      <c r="F23">
        <v>0.21</v>
      </c>
      <c r="G23">
        <v>37.25</v>
      </c>
      <c r="H23">
        <v>214.61</v>
      </c>
      <c r="I23" t="s">
        <v>13</v>
      </c>
      <c r="J23" t="s">
        <v>37</v>
      </c>
    </row>
    <row r="24" spans="1:10" x14ac:dyDescent="0.3">
      <c r="A24" s="2">
        <v>46163</v>
      </c>
      <c r="B24" t="s">
        <v>104</v>
      </c>
      <c r="C24" t="s">
        <v>77</v>
      </c>
      <c r="D24" t="s">
        <v>105</v>
      </c>
      <c r="E24">
        <v>125.7</v>
      </c>
      <c r="F24">
        <v>0.21</v>
      </c>
      <c r="G24">
        <v>26.4</v>
      </c>
      <c r="H24">
        <v>152.1</v>
      </c>
      <c r="I24" t="s">
        <v>13</v>
      </c>
      <c r="J24" t="s">
        <v>37</v>
      </c>
    </row>
    <row r="25" spans="1:10" x14ac:dyDescent="0.3">
      <c r="D25" s="1" t="s">
        <v>29</v>
      </c>
      <c r="E25" s="1">
        <f>SUM(E2:E24)</f>
        <v>3645.3199999999997</v>
      </c>
      <c r="G25" s="1">
        <f>SUM(G2:G24)</f>
        <v>630.21</v>
      </c>
      <c r="H25" s="1">
        <f>SUM(H2:H24)</f>
        <v>4275.5300000000007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2" sqref="C2"/>
    </sheetView>
  </sheetViews>
  <sheetFormatPr baseColWidth="10" defaultColWidth="8.88671875" defaultRowHeight="14.4" x14ac:dyDescent="0.3"/>
  <cols>
    <col min="1" max="11" width="22" customWidth="1"/>
  </cols>
  <sheetData>
    <row r="1" spans="1:4" x14ac:dyDescent="0.3">
      <c r="A1" s="1" t="s">
        <v>92</v>
      </c>
      <c r="B1" s="1" t="s">
        <v>93</v>
      </c>
      <c r="C1" s="1" t="s">
        <v>94</v>
      </c>
      <c r="D1" s="1" t="s">
        <v>95</v>
      </c>
    </row>
    <row r="2" spans="1:4" x14ac:dyDescent="0.3">
      <c r="A2" t="s">
        <v>96</v>
      </c>
      <c r="B2">
        <v>1415.6</v>
      </c>
      <c r="C2">
        <v>145.35</v>
      </c>
      <c r="D2">
        <v>1270.25</v>
      </c>
    </row>
    <row r="3" spans="1:4" x14ac:dyDescent="0.3">
      <c r="A3" t="s">
        <v>97</v>
      </c>
      <c r="B3">
        <v>1689.74</v>
      </c>
      <c r="C3">
        <v>458.45</v>
      </c>
      <c r="D3">
        <v>1231.29</v>
      </c>
    </row>
    <row r="4" spans="1:4" x14ac:dyDescent="0.3">
      <c r="A4" t="s">
        <v>98</v>
      </c>
      <c r="B4">
        <v>0</v>
      </c>
      <c r="C4">
        <v>0</v>
      </c>
      <c r="D4">
        <v>0</v>
      </c>
    </row>
    <row r="5" spans="1:4" x14ac:dyDescent="0.3">
      <c r="A5" t="s">
        <v>99</v>
      </c>
      <c r="B5">
        <v>0</v>
      </c>
      <c r="C5">
        <v>0</v>
      </c>
      <c r="D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1" width="22" customWidth="1"/>
  </cols>
  <sheetData>
    <row r="1" spans="1:2" x14ac:dyDescent="0.3">
      <c r="A1" s="1" t="s">
        <v>3</v>
      </c>
      <c r="B1" s="1" t="s">
        <v>100</v>
      </c>
    </row>
    <row r="2" spans="1:2" x14ac:dyDescent="0.3">
      <c r="A2" t="s">
        <v>101</v>
      </c>
      <c r="B2">
        <f>Ingresos!H20</f>
        <v>17892.599999999999</v>
      </c>
    </row>
    <row r="3" spans="1:2" x14ac:dyDescent="0.3">
      <c r="A3" t="s">
        <v>102</v>
      </c>
      <c r="B3">
        <f>Gastos!H25</f>
        <v>4275.5300000000007</v>
      </c>
    </row>
    <row r="4" spans="1:2" x14ac:dyDescent="0.3">
      <c r="A4" t="s">
        <v>103</v>
      </c>
      <c r="B4">
        <f>B2-B3</f>
        <v>13617.069999999998</v>
      </c>
    </row>
    <row r="5" spans="1:2" x14ac:dyDescent="0.3">
      <c r="A5" t="s">
        <v>93</v>
      </c>
      <c r="B5">
        <f>SUM('IVA Trimestral'!B2:B5)</f>
        <v>3105.34</v>
      </c>
    </row>
    <row r="6" spans="1:2" x14ac:dyDescent="0.3">
      <c r="A6" t="s">
        <v>94</v>
      </c>
      <c r="B6">
        <f>SUM('IVA Trimestral'!C2:C5)</f>
        <v>603.79999999999995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Ingresos</vt:lpstr>
      <vt:lpstr>Gastos</vt:lpstr>
      <vt:lpstr>IVA Trimestral</vt:lpstr>
      <vt:lpstr>Resumen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Bodegas Virgen de la Vega</cp:lastModifiedBy>
  <dcterms:created xsi:type="dcterms:W3CDTF">2026-05-26T06:07:22Z</dcterms:created>
  <dcterms:modified xsi:type="dcterms:W3CDTF">2026-05-27T06:48:35Z</dcterms:modified>
</cp:coreProperties>
</file>