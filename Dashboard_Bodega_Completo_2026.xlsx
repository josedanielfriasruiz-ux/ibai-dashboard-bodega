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resos" sheetId="1" state="visible" r:id="rId1"/>
    <sheet xmlns:r="http://schemas.openxmlformats.org/officeDocument/2006/relationships" name="Gastos" sheetId="2" state="visible" r:id="rId2"/>
    <sheet xmlns:r="http://schemas.openxmlformats.org/officeDocument/2006/relationships" name="IVA Trimestral" sheetId="3" state="visible" r:id="rId3"/>
    <sheet xmlns:r="http://schemas.openxmlformats.org/officeDocument/2006/relationships" name="Resumen Anual" sheetId="4" state="visible" r:id="rId4"/>
    <sheet xmlns:r="http://schemas.openxmlformats.org/officeDocument/2006/relationships"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IVA Trimestral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'IVA Trimestral'!B1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'IVA Trimestral'!$A$2:$A$3</f>
            </numRef>
          </cat>
          <val>
            <numRef>
              <f>'IVA Trimestral'!$B$2:$B$3</f>
            </numRef>
          </val>
        </ser>
        <ser>
          <idx val="1"/>
          <order val="1"/>
          <tx>
            <strRef>
              <f>'IVA Trimestral'!C1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'IVA Trimestral'!$A$2:$A$3</f>
            </numRef>
          </cat>
          <val>
            <numRef>
              <f>'IVA Trimestral'!$C$2:$C$3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7" customWidth="1" min="4" max="4"/>
    <col width="12" customWidth="1" min="5" max="5"/>
    <col width="10" customWidth="1" min="6" max="6"/>
    <col width="11" customWidth="1" min="7" max="7"/>
    <col width="9" customWidth="1" min="8" max="8"/>
  </cols>
  <sheetData>
    <row r="1">
      <c r="A1" s="1" t="inlineStr">
        <is>
          <t>Fecha</t>
        </is>
      </c>
      <c r="B1" s="1" t="inlineStr">
        <is>
          <t>Trimestre</t>
        </is>
      </c>
      <c r="C1" s="1" t="inlineStr">
        <is>
          <t>Factura</t>
        </is>
      </c>
      <c r="D1" s="1" t="inlineStr">
        <is>
          <t>Cliente</t>
        </is>
      </c>
      <c r="E1" s="1" t="inlineStr">
        <is>
          <t>Concepto</t>
        </is>
      </c>
      <c r="F1" s="1" t="inlineStr">
        <is>
          <t>Base</t>
        </is>
      </c>
      <c r="G1" s="1" t="inlineStr">
        <is>
          <t>IVA</t>
        </is>
      </c>
      <c r="H1" s="1" t="inlineStr">
        <is>
          <t>Total</t>
        </is>
      </c>
    </row>
    <row r="2">
      <c r="A2" t="inlineStr">
        <is>
          <t>2026-02-02</t>
        </is>
      </c>
      <c r="B2" t="inlineStr">
        <is>
          <t>1T</t>
        </is>
      </c>
      <c r="C2" t="n">
        <v>176</v>
      </c>
      <c r="D2" t="inlineStr">
        <is>
          <t>ILOVEWINE</t>
        </is>
      </c>
      <c r="E2" t="n">
        <v>929.4</v>
      </c>
      <c r="F2" t="n">
        <v>195.17</v>
      </c>
      <c r="G2" t="n">
        <v>1124.57</v>
      </c>
    </row>
    <row r="3">
      <c r="A3" t="inlineStr">
        <is>
          <t>2026-02-02</t>
        </is>
      </c>
      <c r="B3" t="inlineStr">
        <is>
          <t>1T</t>
        </is>
      </c>
      <c r="C3" t="n">
        <v>177</v>
      </c>
      <c r="D3" t="inlineStr">
        <is>
          <t>GRAPETXEA</t>
        </is>
      </c>
      <c r="E3" t="n">
        <v>260.04</v>
      </c>
      <c r="F3" t="n">
        <v>54.61</v>
      </c>
      <c r="G3" t="n">
        <v>314.65</v>
      </c>
    </row>
    <row r="4">
      <c r="A4" t="inlineStr">
        <is>
          <t>2026-02-09</t>
        </is>
      </c>
      <c r="B4" t="inlineStr">
        <is>
          <t>1T</t>
        </is>
      </c>
      <c r="C4" t="n">
        <v>178</v>
      </c>
      <c r="D4" t="inlineStr">
        <is>
          <t>ALCOHOLERA</t>
        </is>
      </c>
      <c r="E4" t="n">
        <v>25.11</v>
      </c>
      <c r="F4" t="n">
        <v>5.27</v>
      </c>
      <c r="G4" t="n">
        <v>30.38</v>
      </c>
    </row>
    <row r="5">
      <c r="A5" t="inlineStr">
        <is>
          <t>2026-02-25</t>
        </is>
      </c>
      <c r="B5" t="inlineStr">
        <is>
          <t>1T</t>
        </is>
      </c>
      <c r="C5" t="n">
        <v>179</v>
      </c>
      <c r="D5" t="inlineStr">
        <is>
          <t>GRAPETXEA</t>
        </is>
      </c>
      <c r="E5" t="n">
        <v>462.06</v>
      </c>
      <c r="F5" t="n">
        <v>97.03</v>
      </c>
      <c r="G5" t="n">
        <v>559.09</v>
      </c>
    </row>
    <row r="6">
      <c r="A6" t="inlineStr">
        <is>
          <t>2026-02-25</t>
        </is>
      </c>
      <c r="B6" t="inlineStr">
        <is>
          <t>1T</t>
        </is>
      </c>
      <c r="C6" t="n">
        <v>180</v>
      </c>
      <c r="D6" t="inlineStr">
        <is>
          <t>LA CAPRICHOSA</t>
        </is>
      </c>
      <c r="E6" t="n">
        <v>99.17</v>
      </c>
      <c r="F6" t="n">
        <v>20.83</v>
      </c>
      <c r="G6" t="n">
        <v>120</v>
      </c>
    </row>
    <row r="7">
      <c r="A7" t="inlineStr">
        <is>
          <t>2026-03-16</t>
        </is>
      </c>
      <c r="B7" t="inlineStr">
        <is>
          <t>1T</t>
        </is>
      </c>
      <c r="C7" t="n">
        <v>181</v>
      </c>
      <c r="D7" t="inlineStr">
        <is>
          <t>COALLA</t>
        </is>
      </c>
      <c r="E7" t="n">
        <v>1797.6</v>
      </c>
      <c r="F7" t="n">
        <v>377.5</v>
      </c>
      <c r="G7" t="n">
        <v>2175.1</v>
      </c>
    </row>
    <row r="8">
      <c r="A8" t="inlineStr">
        <is>
          <t>2026-03-16</t>
        </is>
      </c>
      <c r="B8" t="inlineStr">
        <is>
          <t>1T</t>
        </is>
      </c>
      <c r="C8" t="n">
        <v>182</v>
      </c>
      <c r="D8" t="inlineStr">
        <is>
          <t>GRAPETXEA</t>
        </is>
      </c>
      <c r="E8" t="n">
        <v>557.76</v>
      </c>
      <c r="F8" t="n">
        <v>117.13</v>
      </c>
      <c r="G8" t="n">
        <v>674.89</v>
      </c>
    </row>
    <row r="9">
      <c r="A9" t="inlineStr">
        <is>
          <t>2026-03-24</t>
        </is>
      </c>
      <c r="B9" t="inlineStr">
        <is>
          <t>1T</t>
        </is>
      </c>
      <c r="C9" t="n">
        <v>183</v>
      </c>
      <c r="D9" t="inlineStr">
        <is>
          <t>COALLA</t>
        </is>
      </c>
      <c r="E9" t="n">
        <v>1649.4</v>
      </c>
      <c r="F9" t="n">
        <v>346.37</v>
      </c>
      <c r="G9" t="n">
        <v>1995.77</v>
      </c>
    </row>
    <row r="10">
      <c r="A10" t="inlineStr">
        <is>
          <t>2026-03-30</t>
        </is>
      </c>
      <c r="B10" t="inlineStr">
        <is>
          <t>1T</t>
        </is>
      </c>
      <c r="C10" t="n">
        <v>184</v>
      </c>
      <c r="D10" t="inlineStr">
        <is>
          <t>COALLA</t>
        </is>
      </c>
      <c r="E10" t="n">
        <v>383.34</v>
      </c>
      <c r="F10" t="n">
        <v>80.5</v>
      </c>
      <c r="G10" t="n">
        <v>463.84</v>
      </c>
    </row>
    <row r="11">
      <c r="A11" t="inlineStr">
        <is>
          <t>2026-03-30</t>
        </is>
      </c>
      <c r="B11" t="inlineStr">
        <is>
          <t>1T</t>
        </is>
      </c>
      <c r="C11" t="n">
        <v>185</v>
      </c>
      <c r="D11" t="inlineStr">
        <is>
          <t>GRAPETXEA</t>
        </is>
      </c>
      <c r="E11" t="n">
        <v>577.08</v>
      </c>
      <c r="F11" t="n">
        <v>121.19</v>
      </c>
      <c r="G11" t="n">
        <v>698.27</v>
      </c>
    </row>
    <row r="12">
      <c r="A12" t="inlineStr">
        <is>
          <t>2026-04-27</t>
        </is>
      </c>
      <c r="B12" t="inlineStr">
        <is>
          <t>2T</t>
        </is>
      </c>
      <c r="C12" t="n">
        <v>186</v>
      </c>
      <c r="D12" t="inlineStr">
        <is>
          <t>GRAPETXEA</t>
        </is>
      </c>
      <c r="E12" t="n">
        <v>522.66</v>
      </c>
      <c r="F12" t="n">
        <v>109.76</v>
      </c>
      <c r="G12" t="n">
        <v>632.42</v>
      </c>
    </row>
    <row r="13">
      <c r="A13" t="inlineStr">
        <is>
          <t>2026-04-27</t>
        </is>
      </c>
      <c r="B13" t="inlineStr">
        <is>
          <t>2T</t>
        </is>
      </c>
      <c r="C13" t="n">
        <v>187</v>
      </c>
      <c r="D13" t="inlineStr">
        <is>
          <t>COALLA</t>
        </is>
      </c>
      <c r="E13" t="n">
        <v>207.84</v>
      </c>
      <c r="F13" t="n">
        <v>43.65</v>
      </c>
      <c r="G13" t="n">
        <v>251.49</v>
      </c>
    </row>
    <row r="14">
      <c r="A14" t="inlineStr">
        <is>
          <t>2026-05-15</t>
        </is>
      </c>
      <c r="B14" t="inlineStr">
        <is>
          <t>2T</t>
        </is>
      </c>
      <c r="C14" t="n">
        <v>188</v>
      </c>
      <c r="D14" t="inlineStr">
        <is>
          <t>GRAPETXEA</t>
        </is>
      </c>
      <c r="E14" t="n">
        <v>708.96</v>
      </c>
      <c r="F14" t="n">
        <v>148.88</v>
      </c>
      <c r="G14" t="n">
        <v>857.84</v>
      </c>
    </row>
    <row r="15">
      <c r="A15" t="inlineStr">
        <is>
          <t>2026-05-21</t>
        </is>
      </c>
      <c r="B15" t="inlineStr">
        <is>
          <t>2T</t>
        </is>
      </c>
      <c r="C15" t="n">
        <v>189</v>
      </c>
      <c r="D15" t="inlineStr">
        <is>
          <t>ILOVEWINE</t>
        </is>
      </c>
      <c r="E15" t="n">
        <v>474</v>
      </c>
      <c r="F15" t="n">
        <v>99.54000000000001</v>
      </c>
      <c r="G15" t="n">
        <v>573.54</v>
      </c>
    </row>
    <row r="16">
      <c r="A16" t="inlineStr">
        <is>
          <t>2026-05-26</t>
        </is>
      </c>
      <c r="B16" t="inlineStr">
        <is>
          <t>2T</t>
        </is>
      </c>
      <c r="C16" t="n">
        <v>190</v>
      </c>
      <c r="D16" t="inlineStr">
        <is>
          <t>COALLA</t>
        </is>
      </c>
      <c r="E16" t="n">
        <v>311.76</v>
      </c>
      <c r="F16" t="n">
        <v>65.47</v>
      </c>
      <c r="G16" t="n">
        <v>377.23</v>
      </c>
    </row>
    <row r="17">
      <c r="A17" t="inlineStr">
        <is>
          <t>2026-05-26</t>
        </is>
      </c>
      <c r="B17" t="inlineStr">
        <is>
          <t>2T</t>
        </is>
      </c>
      <c r="C17" t="n">
        <v>191</v>
      </c>
      <c r="D17" t="inlineStr">
        <is>
          <t>GRAPETXEA</t>
        </is>
      </c>
      <c r="E17" t="n">
        <v>662.46</v>
      </c>
      <c r="F17" t="n">
        <v>139.12</v>
      </c>
      <c r="G17" t="n">
        <v>801.58</v>
      </c>
    </row>
    <row r="18">
      <c r="A18" t="inlineStr">
        <is>
          <t>2026-05-26</t>
        </is>
      </c>
      <c r="B18" t="inlineStr">
        <is>
          <t>2T</t>
        </is>
      </c>
      <c r="C18" t="n">
        <v>192</v>
      </c>
      <c r="D18" t="inlineStr">
        <is>
          <t>COALLA</t>
        </is>
      </c>
      <c r="E18" t="n">
        <v>2431.98</v>
      </c>
      <c r="F18" t="n">
        <v>510.72</v>
      </c>
      <c r="G18" t="n">
        <v>2942.7</v>
      </c>
    </row>
    <row r="19">
      <c r="A19" t="inlineStr">
        <is>
          <t>2026-05-26</t>
        </is>
      </c>
      <c r="B19" t="inlineStr">
        <is>
          <t>2T</t>
        </is>
      </c>
      <c r="C19" t="n">
        <v>193</v>
      </c>
      <c r="D19" t="inlineStr">
        <is>
          <t>COALLA</t>
        </is>
      </c>
      <c r="E19" t="n">
        <v>1953.6</v>
      </c>
      <c r="F19" t="n">
        <v>410.26</v>
      </c>
      <c r="G19" t="n">
        <v>2363.86</v>
      </c>
    </row>
    <row r="20">
      <c r="A20" t="inlineStr">
        <is>
          <t>2026-05-26</t>
        </is>
      </c>
      <c r="B20" t="inlineStr">
        <is>
          <t>2T</t>
        </is>
      </c>
      <c r="C20" t="n">
        <v>194</v>
      </c>
      <c r="D20" t="inlineStr">
        <is>
          <t>COALLA</t>
        </is>
      </c>
      <c r="E20" t="n">
        <v>1247.04</v>
      </c>
      <c r="F20" t="n">
        <v>261.88</v>
      </c>
      <c r="G20" t="n">
        <v>1508.92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4" customWidth="1" min="4" max="4"/>
    <col width="10" customWidth="1" min="5" max="5"/>
    <col width="9" customWidth="1" min="6" max="6"/>
    <col width="10" customWidth="1" min="7" max="7"/>
  </cols>
  <sheetData>
    <row r="1">
      <c r="A1" s="1" t="inlineStr">
        <is>
          <t>Fecha</t>
        </is>
      </c>
      <c r="B1" s="1" t="inlineStr">
        <is>
          <t>Trimestre</t>
        </is>
      </c>
      <c r="C1" s="1" t="inlineStr">
        <is>
          <t>Proveedor</t>
        </is>
      </c>
      <c r="D1" s="1" t="inlineStr">
        <is>
          <t>Categoria</t>
        </is>
      </c>
      <c r="E1" s="1" t="inlineStr">
        <is>
          <t>Base</t>
        </is>
      </c>
      <c r="F1" s="1" t="inlineStr">
        <is>
          <t>IVA</t>
        </is>
      </c>
      <c r="G1" s="1" t="inlineStr">
        <is>
          <t>Total</t>
        </is>
      </c>
    </row>
    <row r="2">
      <c r="A2" t="inlineStr">
        <is>
          <t>2026-03-03</t>
        </is>
      </c>
      <c r="B2" t="inlineStr">
        <is>
          <t>1T</t>
        </is>
      </c>
      <c r="C2" t="inlineStr">
        <is>
          <t>BRAIZU</t>
        </is>
      </c>
      <c r="D2" t="inlineStr">
        <is>
          <t>Botellas</t>
        </is>
      </c>
      <c r="E2" t="n">
        <v>402.03</v>
      </c>
      <c r="F2" t="n">
        <v>84.43000000000001</v>
      </c>
      <c r="G2" t="n">
        <v>486.46</v>
      </c>
    </row>
    <row r="3">
      <c r="A3" t="inlineStr">
        <is>
          <t>2026-04-01</t>
        </is>
      </c>
      <c r="B3" t="inlineStr">
        <is>
          <t>2T</t>
        </is>
      </c>
      <c r="C3" t="inlineStr">
        <is>
          <t>SOLGE</t>
        </is>
      </c>
      <c r="D3" t="inlineStr">
        <is>
          <t>Etiquetas</t>
        </is>
      </c>
      <c r="E3" t="n">
        <v>465.25</v>
      </c>
      <c r="F3" t="n">
        <v>97.7</v>
      </c>
      <c r="G3" t="n">
        <v>562.95</v>
      </c>
    </row>
    <row r="4">
      <c r="A4" t="inlineStr">
        <is>
          <t>2026-04-15</t>
        </is>
      </c>
      <c r="B4" t="inlineStr">
        <is>
          <t>2T</t>
        </is>
      </c>
      <c r="C4" t="inlineStr">
        <is>
          <t>ECOVIDRIO</t>
        </is>
      </c>
      <c r="D4" t="inlineStr">
        <is>
          <t>Cuotas</t>
        </is>
      </c>
      <c r="E4" t="n">
        <v>58.9</v>
      </c>
      <c r="F4" t="n">
        <v>5.89</v>
      </c>
      <c r="G4" t="n">
        <v>64.79000000000001</v>
      </c>
    </row>
    <row r="5">
      <c r="A5" t="inlineStr">
        <is>
          <t>2026-04-20</t>
        </is>
      </c>
      <c r="B5" t="inlineStr">
        <is>
          <t>2T</t>
        </is>
      </c>
      <c r="C5" t="inlineStr">
        <is>
          <t>CAVATAP</t>
        </is>
      </c>
      <c r="D5" t="inlineStr">
        <is>
          <t>Packaging</t>
        </is>
      </c>
      <c r="E5" t="n">
        <v>338.8</v>
      </c>
      <c r="F5" t="n">
        <v>71.15000000000001</v>
      </c>
      <c r="G5" t="n">
        <v>409.95</v>
      </c>
    </row>
    <row r="6">
      <c r="A6" t="inlineStr">
        <is>
          <t>2026-05-07</t>
        </is>
      </c>
      <c r="B6" t="inlineStr">
        <is>
          <t>2T</t>
        </is>
      </c>
      <c r="C6" t="inlineStr">
        <is>
          <t>FRANCISCO VIA</t>
        </is>
      </c>
      <c r="D6" t="inlineStr">
        <is>
          <t>Bodega</t>
        </is>
      </c>
      <c r="E6" t="n">
        <v>240</v>
      </c>
      <c r="F6" t="n">
        <v>50.4</v>
      </c>
      <c r="G6" t="n">
        <v>290.4</v>
      </c>
    </row>
    <row r="7">
      <c r="A7" t="inlineStr">
        <is>
          <t>2026-05-12</t>
        </is>
      </c>
      <c r="B7" t="inlineStr">
        <is>
          <t>2T</t>
        </is>
      </c>
      <c r="C7" t="inlineStr">
        <is>
          <t>VINVENTIONS</t>
        </is>
      </c>
      <c r="D7" t="inlineStr">
        <is>
          <t>Corchos</t>
        </is>
      </c>
      <c r="E7" t="n">
        <v>520</v>
      </c>
      <c r="F7" t="n">
        <v>0</v>
      </c>
      <c r="G7" t="n">
        <v>520</v>
      </c>
    </row>
    <row r="8">
      <c r="A8" t="inlineStr">
        <is>
          <t>2026-05-15</t>
        </is>
      </c>
      <c r="B8" t="inlineStr">
        <is>
          <t>2T</t>
        </is>
      </c>
      <c r="C8" t="inlineStr">
        <is>
          <t>ECUTRANS</t>
        </is>
      </c>
      <c r="D8" t="inlineStr">
        <is>
          <t>Transporte</t>
        </is>
      </c>
      <c r="E8" t="n">
        <v>79.86</v>
      </c>
      <c r="F8" t="n">
        <v>16.77</v>
      </c>
      <c r="G8" t="n">
        <v>96.63</v>
      </c>
    </row>
    <row r="9">
      <c r="A9" t="inlineStr">
        <is>
          <t>2026-05-19</t>
        </is>
      </c>
      <c r="B9" t="inlineStr">
        <is>
          <t>2T</t>
        </is>
      </c>
      <c r="C9" t="inlineStr">
        <is>
          <t>SOLBI MURAL</t>
        </is>
      </c>
      <c r="D9" t="inlineStr">
        <is>
          <t>Packaging</t>
        </is>
      </c>
      <c r="E9" t="n">
        <v>58.85</v>
      </c>
      <c r="F9" t="n">
        <v>12.36</v>
      </c>
      <c r="G9" t="n">
        <v>71.20999999999999</v>
      </c>
    </row>
    <row r="10">
      <c r="A10" t="inlineStr">
        <is>
          <t>2026-05-21</t>
        </is>
      </c>
      <c r="B10" t="inlineStr">
        <is>
          <t>2T</t>
        </is>
      </c>
      <c r="C10" t="inlineStr">
        <is>
          <t>GIL GAMS</t>
        </is>
      </c>
      <c r="D10" t="inlineStr">
        <is>
          <t>Packaging</t>
        </is>
      </c>
      <c r="E10" t="n">
        <v>125.7</v>
      </c>
      <c r="F10" t="n">
        <v>26.4</v>
      </c>
      <c r="G10" t="n">
        <v>152.1</v>
      </c>
    </row>
    <row r="11">
      <c r="A11" t="inlineStr">
        <is>
          <t>2026-05-26</t>
        </is>
      </c>
      <c r="B11" t="inlineStr">
        <is>
          <t>2T</t>
        </is>
      </c>
      <c r="C11" t="inlineStr">
        <is>
          <t>BRAIZU</t>
        </is>
      </c>
      <c r="D11" t="inlineStr">
        <is>
          <t>Botellas</t>
        </is>
      </c>
      <c r="E11" t="n">
        <v>402.03</v>
      </c>
      <c r="F11" t="n">
        <v>84.43000000000001</v>
      </c>
      <c r="G11" t="n">
        <v>486.46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17" customWidth="1" min="3" max="3"/>
    <col width="13" customWidth="1" min="4" max="4"/>
  </cols>
  <sheetData>
    <row r="1">
      <c r="A1" s="1" t="inlineStr">
        <is>
          <t>Trimestre</t>
        </is>
      </c>
      <c r="B1" s="1" t="inlineStr">
        <is>
          <t>IVA Repercutido</t>
        </is>
      </c>
      <c r="C1" s="1" t="inlineStr">
        <is>
          <t>IVA Soportado</t>
        </is>
      </c>
      <c r="D1" s="1" t="inlineStr">
        <is>
          <t>Resultado</t>
        </is>
      </c>
    </row>
    <row r="2">
      <c r="A2" t="inlineStr">
        <is>
          <t>1T</t>
        </is>
      </c>
      <c r="B2" t="n">
        <v>1415.6</v>
      </c>
      <c r="C2" t="n">
        <v>84.43000000000001</v>
      </c>
      <c r="D2" t="n">
        <v>1331.17</v>
      </c>
    </row>
    <row r="3">
      <c r="A3" t="inlineStr">
        <is>
          <t>2T</t>
        </is>
      </c>
      <c r="B3" t="n">
        <v>1789.28</v>
      </c>
      <c r="C3" t="n">
        <v>364.7</v>
      </c>
      <c r="D3" t="n">
        <v>1424.58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Concepto</t>
        </is>
      </c>
      <c r="B1" s="1" t="inlineStr">
        <is>
          <t>Importe</t>
        </is>
      </c>
    </row>
    <row r="2">
      <c r="A2" t="inlineStr">
        <is>
          <t>Ingresos Totales</t>
        </is>
      </c>
      <c r="B2" t="n">
        <v>18466.14</v>
      </c>
    </row>
    <row r="3">
      <c r="A3" t="inlineStr">
        <is>
          <t>Gastos Totales</t>
        </is>
      </c>
      <c r="B3" t="n">
        <v>3140.95</v>
      </c>
    </row>
    <row r="4">
      <c r="A4" t="inlineStr">
        <is>
          <t>Beneficio Estimado</t>
        </is>
      </c>
      <c r="B4" t="n">
        <v>15325.19</v>
      </c>
    </row>
    <row r="5">
      <c r="A5" t="inlineStr">
        <is>
          <t>IVA Repercutido</t>
        </is>
      </c>
      <c r="B5" t="n">
        <v>3204.88</v>
      </c>
    </row>
    <row r="6">
      <c r="A6" t="inlineStr">
        <is>
          <t>IVA Soportado</t>
        </is>
      </c>
      <c r="B6" t="n">
        <v>449.5299999999999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22" customWidth="1" min="3" max="3"/>
    <col width="4" customWidth="1" min="4" max="4"/>
    <col width="4" customWidth="1" min="5" max="5"/>
    <col width="19" customWidth="1" min="6" max="6"/>
    <col width="21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B2" t="inlineStr">
        <is>
          <t>VENTAS</t>
        </is>
      </c>
      <c r="C2" t="n">
        <v>18466.14</v>
      </c>
      <c r="F2" t="inlineStr">
        <is>
          <t>IVA REPERCUTIDO</t>
        </is>
      </c>
      <c r="G2" t="n">
        <v>3204.88</v>
      </c>
    </row>
    <row r="3"/>
    <row r="4">
      <c r="B4" t="inlineStr">
        <is>
          <t>GASTOS</t>
        </is>
      </c>
      <c r="C4" t="n">
        <v>3140.95</v>
      </c>
      <c r="F4" t="inlineStr">
        <is>
          <t>IVA SOPORTADO</t>
        </is>
      </c>
      <c r="G4" t="n">
        <v>449.5299999999999</v>
      </c>
    </row>
    <row r="5"/>
    <row r="6">
      <c r="B6" t="inlineStr">
        <is>
          <t>BENEFICIO</t>
        </is>
      </c>
      <c r="C6" t="n">
        <v>15325.19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2026-05-27T06:04:26Z</dcterms:created>
  <dcterms:modified xmlns:dcterms="http://purl.org/dc/terms/" xmlns:xsi="http://www.w3.org/2001/XMLSchema-instance" xsi:type="dcterms:W3CDTF">2026-05-27T06:04:26Z</dcterms:modified>
</cp:coreProperties>
</file>